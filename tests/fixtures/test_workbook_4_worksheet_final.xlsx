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xr:revisionPtr revIDLastSave="0" documentId="8_{2EB46909-79A9-AD4E-9994-1AEC208DE88F}" xr6:coauthVersionLast="47" xr6:coauthVersionMax="47" xr10:uidLastSave="{00000000-0000-0000-0000-000000000000}"/>
  <bookViews>
    <workbookView xWindow="0" yWindow="660" windowWidth="30240" windowHeight="17440" activeTab="8" xr2:uid="{00000000-000D-0000-FFFF-FFFF00000000}"/>
  </bookViews>
  <sheets>
    <sheet name="cell_types" sheetId="1" r:id="rId1"/>
    <sheet name="ref_data" sheetId="2" r:id="rId2"/>
    <sheet name="formulas" sheetId="3" r:id="rId3"/>
    <sheet name="merged_cells" sheetId="4" r:id="rId4"/>
    <sheet name="freeze_panes" sheetId="5" r:id="rId5"/>
    <sheet name="sheet_structure" sheetId="6" r:id="rId6"/>
    <sheet name="cross_sheet_refs" sheetId="7" r:id="rId7"/>
    <sheet name="sheet_with_table" sheetId="8" r:id="rId8"/>
    <sheet name="edge_cases" sheetId="9" r:id="rId9"/>
    <sheet name="empty_sheet" sheetId="10" state="hidden" r:id="rId10"/>
    <sheet name="sparse_no_dim" sheetId="11" r:id="rId11"/>
    <sheet name="single_cell" sheetId="12" r:id="rId12"/>
    <sheet name="non_a1_dimension" sheetId="13" r:id="rId13"/>
  </sheets>
  <definedNames>
    <definedName name="BrokenRange">#REF!</definedName>
    <definedName name="PriceData">ref_data!$A$2:$A$11</definedName>
    <definedName name="VolumeTotal">ref_data!$B$12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3" l="1"/>
  <c r="E10" i="13"/>
  <c r="D10" i="13"/>
  <c r="C10" i="13"/>
  <c r="D15" i="11"/>
  <c r="B14" i="9"/>
  <c r="B13" i="9"/>
  <c r="G8" i="8"/>
  <c r="F8" i="8"/>
  <c r="C8" i="8"/>
  <c r="B11" i="7"/>
  <c r="B9" i="7"/>
  <c r="B7" i="7"/>
  <c r="B5" i="7"/>
  <c r="B4" i="7"/>
  <c r="B1001" i="6"/>
  <c r="A1001" i="6"/>
  <c r="C107" i="6"/>
  <c r="B107" i="6"/>
  <c r="H11" i="4"/>
  <c r="G11" i="4"/>
  <c r="F11" i="4"/>
  <c r="E11" i="4"/>
  <c r="D11" i="4"/>
  <c r="C11" i="4"/>
  <c r="B11" i="4"/>
  <c r="B23" i="3" a="1"/>
  <c r="B23" i="3" s="1"/>
  <c r="B20" i="3"/>
  <c r="B19" i="3"/>
  <c r="B18" i="3"/>
  <c r="B17" i="3"/>
  <c r="B16" i="3"/>
  <c r="B15" i="3"/>
  <c r="B14" i="3"/>
  <c r="B13" i="3"/>
  <c r="B11" i="3"/>
  <c r="B10" i="3"/>
  <c r="B9" i="3"/>
  <c r="B8" i="3"/>
  <c r="B6" i="3"/>
  <c r="B8" i="7" s="1"/>
  <c r="B5" i="3"/>
  <c r="B4" i="3"/>
  <c r="B2" i="3"/>
  <c r="B3" i="3" s="1"/>
  <c r="B12" i="2"/>
  <c r="B10" i="7" s="1"/>
  <c r="A12" i="2"/>
  <c r="B11" i="1"/>
  <c r="B9" i="1"/>
  <c r="B8" i="1"/>
  <c r="B6" i="1"/>
  <c r="B3" i="1"/>
  <c r="B6" i="7" l="1"/>
  <c r="B21" i="3"/>
  <c r="D107" i="6"/>
  <c r="E107" i="6" s="1"/>
  <c r="F107" i="6" s="1"/>
  <c r="D13" i="7"/>
  <c r="B13" i="7"/>
</calcChain>
</file>

<file path=xl/sharedStrings.xml><?xml version="1.0" encoding="utf-8"?>
<sst xmlns="http://schemas.openxmlformats.org/spreadsheetml/2006/main" count="334" uniqueCount="276">
  <si>
    <t>Type</t>
  </si>
  <si>
    <t>Cell</t>
  </si>
  <si>
    <t>Notes</t>
  </si>
  <si>
    <t>t=s (shared string)</t>
  </si>
  <si>
    <t>Hello from shared strings</t>
  </si>
  <si>
    <t>openpyxl writes as t=s by default</t>
  </si>
  <si>
    <t>t=str (formula string)</t>
  </si>
  <si>
    <t>formula result is a string, t=str</t>
  </si>
  <si>
    <t>t=b TRUE</t>
  </si>
  <si>
    <t>boolean cell t=b v=1</t>
  </si>
  <si>
    <t>t=b FALSE</t>
  </si>
  <si>
    <t>boolean cell t=b v=0</t>
  </si>
  <si>
    <t>t=e #DIV/0!</t>
  </si>
  <si>
    <t>will be error after recalc</t>
  </si>
  <si>
    <t>t=e #REF!</t>
  </si>
  <si>
    <t>injected as t=e #REF! directly</t>
  </si>
  <si>
    <t>t=e #VALUE!</t>
  </si>
  <si>
    <t>type mismatch error</t>
  </si>
  <si>
    <t>t=e #N/A</t>
  </si>
  <si>
    <t>NA error</t>
  </si>
  <si>
    <t>t=e #NAME?</t>
  </si>
  <si>
    <t>injected as t=e #NAME? directly</t>
  </si>
  <si>
    <t>t=e #NUM!</t>
  </si>
  <si>
    <t>invalid numeric operation</t>
  </si>
  <si>
    <t>t=e #NULL!</t>
  </si>
  <si>
    <t>injected as t=e #NULL! directly</t>
  </si>
  <si>
    <t>numeric (no t attr)</t>
  </si>
  <si>
    <t>plain float, no t attr</t>
  </si>
  <si>
    <t>numeric date</t>
  </si>
  <si>
    <t>stored as serial, style=date</t>
  </si>
  <si>
    <t>numeric time</t>
  </si>
  <si>
    <t>stored as fraction, style=time</t>
  </si>
  <si>
    <t>empty cell (no value)</t>
  </si>
  <si>
    <t>cell exists in XML, no &lt;v&gt; element</t>
  </si>
  <si>
    <t>sparse (absent from XML)</t>
  </si>
  <si>
    <t>B17 not written to XML at all</t>
  </si>
  <si>
    <t>t=inlineStr</t>
  </si>
  <si>
    <t>inline string value</t>
  </si>
  <si>
    <t>injected as t=inlineStr &lt;is&gt;&lt;t&gt;</t>
  </si>
  <si>
    <t>large integer</t>
  </si>
  <si>
    <t>large int stored as float in XML</t>
  </si>
  <si>
    <t>scientific notation</t>
  </si>
  <si>
    <t>stored as 1.23456789E+15 in XML</t>
  </si>
  <si>
    <t>negative number</t>
  </si>
  <si>
    <t>negative float</t>
  </si>
  <si>
    <t>zero</t>
  </si>
  <si>
    <t>explicit zero</t>
  </si>
  <si>
    <t>integer</t>
  </si>
  <si>
    <t>whole number</t>
  </si>
  <si>
    <t>Price</t>
  </si>
  <si>
    <t>Volume</t>
  </si>
  <si>
    <t>Category</t>
  </si>
  <si>
    <t>ContractID</t>
  </si>
  <si>
    <t>Rate</t>
  </si>
  <si>
    <t>NY#11</t>
  </si>
  <si>
    <t>C001</t>
  </si>
  <si>
    <t>LDN#5</t>
  </si>
  <si>
    <t>C002</t>
  </si>
  <si>
    <t>C003</t>
  </si>
  <si>
    <t>C004</t>
  </si>
  <si>
    <t>C005</t>
  </si>
  <si>
    <t>Formula Type</t>
  </si>
  <si>
    <t>Expected Value</t>
  </si>
  <si>
    <t>simple arithmetic</t>
  </si>
  <si>
    <t>constant arithmetic</t>
  </si>
  <si>
    <t>cell reference</t>
  </si>
  <si>
    <t>relative reference to B2</t>
  </si>
  <si>
    <t>cross-sheet unquoted</t>
  </si>
  <si>
    <t>sheet name has no spaces</t>
  </si>
  <si>
    <t>cross-sheet quoted</t>
  </si>
  <si>
    <t>quoted because spaces/special chars</t>
  </si>
  <si>
    <t>cross-sheet SUM range</t>
  </si>
  <si>
    <t>range reference across sheet</t>
  </si>
  <si>
    <t>shared formula DEF</t>
  </si>
  <si>
    <t>shared formula child</t>
  </si>
  <si>
    <t>named range formula</t>
  </si>
  <si>
    <t>PriceData = ref_data!$A$2:$A$11</t>
  </si>
  <si>
    <t>VLOOKUP</t>
  </si>
  <si>
    <t>lookup across sheet</t>
  </si>
  <si>
    <t>IF formula</t>
  </si>
  <si>
    <t>Low</t>
  </si>
  <si>
    <t>conditional returning string</t>
  </si>
  <si>
    <t>INDEX/MATCH</t>
  </si>
  <si>
    <t>nested lookup</t>
  </si>
  <si>
    <t>SUM multi-range</t>
  </si>
  <si>
    <t>two ranges in SUM</t>
  </si>
  <si>
    <t>volatile TODAY()</t>
  </si>
  <si>
    <t>changes daily</t>
  </si>
  <si>
    <t>volatile function</t>
  </si>
  <si>
    <t>volatile NOW()</t>
  </si>
  <si>
    <t>changes on recalc</t>
  </si>
  <si>
    <t>volatile datetime</t>
  </si>
  <si>
    <t>volatile OFFSET</t>
  </si>
  <si>
    <t>volatile reference shift</t>
  </si>
  <si>
    <t>formula no cached value</t>
  </si>
  <si>
    <t>will patch to remove &lt;v&gt; from XML</t>
  </si>
  <si>
    <t>external workbook ref</t>
  </si>
  <si>
    <t>#REF or flag</t>
  </si>
  <si>
    <t>ref to another .xlsx file</t>
  </si>
  <si>
    <t>array formula</t>
  </si>
  <si>
    <t>sum of products</t>
  </si>
  <si>
    <t>t=array in XML</t>
  </si>
  <si>
    <t>Hedge Position Summary — Q1 2025</t>
  </si>
  <si>
    <t>NY #11 Positions</t>
  </si>
  <si>
    <t>LDN #5 Positions</t>
  </si>
  <si>
    <t>Month</t>
  </si>
  <si>
    <t>Lots</t>
  </si>
  <si>
    <t>MTM</t>
  </si>
  <si>
    <t>P&amp;L</t>
  </si>
  <si>
    <t>Jan-25</t>
  </si>
  <si>
    <t>Feb-25</t>
  </si>
  <si>
    <t>Mar-25</t>
  </si>
  <si>
    <t>Apr-25</t>
  </si>
  <si>
    <t>May-25</t>
  </si>
  <si>
    <t>Jun-25</t>
  </si>
  <si>
    <t>Total</t>
  </si>
  <si>
    <t>Left Block</t>
  </si>
  <si>
    <t>Right Block</t>
  </si>
  <si>
    <t>Solo</t>
  </si>
  <si>
    <t>Deep
Merge
Block</t>
  </si>
  <si>
    <t>Data row 18</t>
  </si>
  <si>
    <t>Data row 19</t>
  </si>
  <si>
    <t>Data row 20</t>
  </si>
  <si>
    <t>Data row 21</t>
  </si>
  <si>
    <t>Data row 22</t>
  </si>
  <si>
    <t>FREEZE CONFIG: Row 1 frozen (topLeftCell=A2)</t>
  </si>
  <si>
    <t>Contract</t>
  </si>
  <si>
    <t>Date</t>
  </si>
  <si>
    <t>Status</t>
  </si>
  <si>
    <t>Closed</t>
  </si>
  <si>
    <t>Active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</si>
  <si>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</si>
  <si>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</si>
  <si>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</si>
  <si>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</si>
  <si>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</si>
  <si>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</si>
  <si>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</si>
  <si>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</si>
  <si>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</si>
  <si>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</si>
  <si>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</si>
  <si>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</si>
  <si>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</si>
  <si>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</si>
  <si>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DENSE ZONE (A1:J20)</t>
  </si>
  <si>
    <t>SPARSE ZONE</t>
  </si>
  <si>
    <t>First sparse cell</t>
  </si>
  <si>
    <t>Gap jump to row 40</t>
  </si>
  <si>
    <t>Deep row 100</t>
  </si>
  <si>
    <t>Same row, col F</t>
  </si>
  <si>
    <t>WIDE ZONE (cols up to AE)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</si>
  <si>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</si>
  <si>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</si>
  <si>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</si>
  <si>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</si>
  <si>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</si>
  <si>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</si>
  <si>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</si>
  <si>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</si>
  <si>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</si>
  <si>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</si>
  <si>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</si>
  <si>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</si>
  <si>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</si>
  <si>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</si>
  <si>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</si>
  <si>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</si>
  <si>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</si>
  <si>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</si>
  <si>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</si>
  <si>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</si>
  <si>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</si>
  <si>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</si>
  <si>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</si>
  <si>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</si>
  <si>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</si>
  <si>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</si>
  <si>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</si>
  <si>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</si>
  <si>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</si>
  <si>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</si>
  <si>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</si>
  <si>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FORMULA-ONLY ZONE</t>
  </si>
  <si>
    <t>VALUES-ONLY ZONE</t>
  </si>
  <si>
    <t>ROW 1000 marker</t>
  </si>
  <si>
    <t>Cross-Sheet Reference Tests</t>
  </si>
  <si>
    <t>Ref Type</t>
  </si>
  <si>
    <t>Formula</t>
  </si>
  <si>
    <t>Sheets Touched</t>
  </si>
  <si>
    <t>Result</t>
  </si>
  <si>
    <t>single sheet</t>
  </si>
  <si>
    <t>ref_data</t>
  </si>
  <si>
    <t>two sheets</t>
  </si>
  <si>
    <t>ref_data, cell_types</t>
  </si>
  <si>
    <t>three sheets</t>
  </si>
  <si>
    <t>ref_data, cell_types, formulas</t>
  </si>
  <si>
    <t>quoted sheet name</t>
  </si>
  <si>
    <t>cell_types (quoted)</t>
  </si>
  <si>
    <t>indirect chain</t>
  </si>
  <si>
    <t>formulas -&gt; ref_data</t>
  </si>
  <si>
    <t>named range</t>
  </si>
  <si>
    <t>resolves via registry</t>
  </si>
  <si>
    <t>two named ranges</t>
  </si>
  <si>
    <t>two registry lookups</t>
  </si>
  <si>
    <t>ref to hidden sheet</t>
  </si>
  <si>
    <t>empty_sheet (hidden)</t>
  </si>
  <si>
    <t>circular ref A</t>
  </si>
  <si>
    <t>circular ref B</t>
  </si>
  <si>
    <t>[other.xlsx]Sheet1!A1</t>
  </si>
  <si>
    <t>parser flags, does not crash</t>
  </si>
  <si>
    <t>Futures Positions — March 2025</t>
  </si>
  <si>
    <t>Direction</t>
  </si>
  <si>
    <t>Entry Price</t>
  </si>
  <si>
    <t>MTM Price</t>
  </si>
  <si>
    <t>MTM Value</t>
  </si>
  <si>
    <t>Mar-25 NY#11</t>
  </si>
  <si>
    <t>Long</t>
  </si>
  <si>
    <t>Short</t>
  </si>
  <si>
    <t>May-25 NY#11</t>
  </si>
  <si>
    <t>May-25 LDN#5</t>
  </si>
  <si>
    <t>Jul-25 LDN#5</t>
  </si>
  <si>
    <t>Edge Case</t>
  </si>
  <si>
    <t>Value</t>
  </si>
  <si>
    <t>Hidden Col Header</t>
  </si>
  <si>
    <t>Zero-width col</t>
  </si>
  <si>
    <t>s=0 explicit</t>
  </si>
  <si>
    <t>s='0' explicitly in XML, not absent</t>
  </si>
  <si>
    <t>hidden value 1</t>
  </si>
  <si>
    <t>also hidden</t>
  </si>
  <si>
    <t>no s attribute</t>
  </si>
  <si>
    <t>s attribute absent from XML entirely</t>
  </si>
  <si>
    <t>hidden value 2</t>
  </si>
  <si>
    <t>very large number</t>
  </si>
  <si>
    <t>stored as scientific in XML</t>
  </si>
  <si>
    <t>very small number</t>
  </si>
  <si>
    <t>tiny float</t>
  </si>
  <si>
    <t>negative large</t>
  </si>
  <si>
    <t>negative large float</t>
  </si>
  <si>
    <t>integer max</t>
  </si>
  <si>
    <t>int32 max value</t>
  </si>
  <si>
    <t>empty string value</t>
  </si>
  <si>
    <t>empty string - distinct from absent cell</t>
  </si>
  <si>
    <t>whitespace string</t>
  </si>
  <si>
    <t xml:space="preserve">   </t>
  </si>
  <si>
    <t>three spaces</t>
  </si>
  <si>
    <t>unicode string</t>
  </si>
  <si>
    <t>السكر الخام</t>
  </si>
  <si>
    <t>Arabic text - RTL</t>
  </si>
  <si>
    <t>newline in string</t>
  </si>
  <si>
    <t>line one
line two</t>
  </si>
  <si>
    <t>embedded newline</t>
  </si>
  <si>
    <t>ampersand in string</t>
  </si>
  <si>
    <t>Gain &amp; Loss</t>
  </si>
  <si>
    <t>&amp; stored as &amp;amp; in XML</t>
  </si>
  <si>
    <t>formula zero result</t>
  </si>
  <si>
    <t>formula that evaluates to zero</t>
  </si>
  <si>
    <t>formula neg result</t>
  </si>
  <si>
    <t>formula with negative result</t>
  </si>
  <si>
    <t>row spans present</t>
  </si>
  <si>
    <t>this row has spans attr in XML</t>
  </si>
  <si>
    <t>custom height row</t>
  </si>
  <si>
    <t>customHeight=1 in XML</t>
  </si>
  <si>
    <t>default height row</t>
  </si>
  <si>
    <t>no customHeight attr</t>
  </si>
  <si>
    <t>hidden column</t>
  </si>
  <si>
    <t>see col D</t>
  </si>
  <si>
    <t>Column D is hidden (width=0, hidden=True)</t>
  </si>
  <si>
    <t>zero-width column</t>
  </si>
  <si>
    <t>see col E</t>
  </si>
  <si>
    <t>Column E has width=0</t>
  </si>
  <si>
    <t>Sparse Label</t>
  </si>
  <si>
    <t>Header 1</t>
  </si>
  <si>
    <t>Header 2</t>
  </si>
  <si>
    <t>Header 3</t>
  </si>
  <si>
    <t>Header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</si>
</sst>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7" formatCode="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3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5" fontId="0" fillId="0" borderId="0" xfId="0" applyNumberFormat="1"/>
    <xf numFmtId="167" fontId="0" fillId="0" borderId="0" xfId="0" applyNumberFormat="1"/>
    <xf numFmtId="0" fontId="2" fillId="0" borderId="0" xfId="0" applyFont="1"/>
    <xf numFmtId="0" fontId="1" fillId="3" borderId="0" xfId="0" applyFont="1" applyFill="1"/>
    <xf numFmtId="0" fontId="6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4" fillId="2" borderId="0" xfId="0" applyFont="1" applyFill="1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turesPositions" displayName="FuturesPositions" ref="A2:G7">
  <autoFilter ref="A2:G7" xr:uid="{00000000-0009-0000-0100-000001000000}"/>
  <tableColumns count="7">
    <tableColumn id="1" xr3:uid="{00000000-0010-0000-0000-000001000000}" name="Contract"/>
    <tableColumn id="2" xr3:uid="{00000000-0010-0000-0000-000002000000}" name="Direction"/>
    <tableColumn id="3" xr3:uid="{00000000-0010-0000-0000-000003000000}" name="Lots"/>
    <tableColumn id="4" xr3:uid="{00000000-0010-0000-0000-000004000000}" name="Entry Price"/>
    <tableColumn id="5" xr3:uid="{00000000-0010-0000-0000-000005000000}" name="MTM Price"/>
    <tableColumn id="6" xr3:uid="{00000000-0010-0000-0000-000006000000}" name="MTM Value"/>
    <tableColumn id="7" xr3:uid="{00000000-0010-0000-0000-000007000000}" name="P&amp;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28" customWidth="1"/>
    <col min="2" max="2" width="39.33203125" customWidth="1"/>
    <col min="3" max="3" width="36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tr">
        <f>TEXT(DATE(2025,3,31),"MMM-YY")</f>
        <v>Mar-25</v>
      </c>
      <c r="C3" t="s">
        <v>7</v>
      </c>
    </row>
    <row r="4" spans="1:3" x14ac:dyDescent="0.2">
      <c r="A4" t="s">
        <v>8</v>
      </c>
      <c r="B4" t="b">
        <v>1</v>
      </c>
      <c r="C4" t="s">
        <v>9</v>
      </c>
    </row>
    <row r="5" spans="1:3" x14ac:dyDescent="0.2">
      <c r="A5" t="s">
        <v>10</v>
      </c>
      <c r="B5" t="b">
        <v>0</v>
      </c>
      <c r="C5" t="s">
        <v>11</v>
      </c>
    </row>
    <row r="6" spans="1:3" x14ac:dyDescent="0.2">
      <c r="A6" t="s">
        <v>12</v>
      </c>
      <c r="B6" t="e">
        <f>1/0</f>
        <v>#DIV/0!</v>
      </c>
      <c r="C6" t="s">
        <v>13</v>
      </c>
    </row>
    <row r="7" spans="1:3" x14ac:dyDescent="0.2">
      <c r="A7" t="s">
        <v>14</v>
      </c>
      <c r="B7" t="e">
        <v>#REF!</v>
      </c>
      <c r="C7" t="s">
        <v>15</v>
      </c>
    </row>
    <row r="8" spans="1:3" x14ac:dyDescent="0.2">
      <c r="A8" t="s">
        <v>16</v>
      </c>
      <c r="B8" t="e">
        <f>1+"text"</f>
        <v>#VALUE!</v>
      </c>
      <c r="C8" t="s">
        <v>17</v>
      </c>
    </row>
    <row r="9" spans="1:3" x14ac:dyDescent="0.2">
      <c r="A9" t="s">
        <v>18</v>
      </c>
      <c r="B9" t="e">
        <f>NA()</f>
        <v>#N/A</v>
      </c>
      <c r="C9" t="s">
        <v>19</v>
      </c>
    </row>
    <row r="10" spans="1:3" x14ac:dyDescent="0.2">
      <c r="A10" t="s">
        <v>20</v>
      </c>
      <c r="B10" t="e">
        <v>#NAME?</v>
      </c>
      <c r="C10" t="s">
        <v>21</v>
      </c>
    </row>
    <row r="11" spans="1:3" x14ac:dyDescent="0.2">
      <c r="A11" t="s">
        <v>22</v>
      </c>
      <c r="B11" t="e">
        <f>SQRT(-1)</f>
        <v>#NUM!</v>
      </c>
      <c r="C11" t="s">
        <v>23</v>
      </c>
    </row>
    <row r="12" spans="1:3" x14ac:dyDescent="0.2">
      <c r="A12" t="s">
        <v>24</v>
      </c>
      <c r="B12" t="e">
        <v>#NULL!</v>
      </c>
      <c r="C12" t="s">
        <v>25</v>
      </c>
    </row>
    <row r="13" spans="1:3" x14ac:dyDescent="0.2">
      <c r="A13" t="s">
        <v>26</v>
      </c>
      <c r="B13">
        <v>42.5</v>
      </c>
      <c r="C13" t="s">
        <v>27</v>
      </c>
    </row>
    <row r="14" spans="1:3" x14ac:dyDescent="0.2">
      <c r="A14" t="s">
        <v>28</v>
      </c>
      <c r="B14" s="2">
        <v>45747</v>
      </c>
      <c r="C14" t="s">
        <v>29</v>
      </c>
    </row>
    <row r="15" spans="1:3" x14ac:dyDescent="0.2">
      <c r="A15" t="s">
        <v>30</v>
      </c>
      <c r="B15" s="3">
        <v>0.60416666666666663</v>
      </c>
      <c r="C15" t="s">
        <v>31</v>
      </c>
    </row>
    <row r="16" spans="1:3" x14ac:dyDescent="0.2">
      <c r="A16" t="s">
        <v>32</v>
      </c>
      <c r="B16" s="4"/>
      <c r="C16" t="s">
        <v>33</v>
      </c>
    </row>
    <row r="17" spans="1:3" x14ac:dyDescent="0.2">
      <c r="A17" t="s">
        <v>34</v>
      </c>
      <c r="C17" t="s">
        <v>35</v>
      </c>
    </row>
    <row r="18" spans="1:3" x14ac:dyDescent="0.2">
      <c r="A18" t="s">
        <v>36</v>
      </c>
      <c r="B18" t="s">
        <v>37</v>
      </c>
      <c r="C18" t="s">
        <v>38</v>
      </c>
    </row>
    <row r="19" spans="1:3" x14ac:dyDescent="0.2">
      <c r="A19" t="s">
        <v>39</v>
      </c>
      <c r="B19">
        <v>9999999999</v>
      </c>
      <c r="C19" t="s">
        <v>40</v>
      </c>
    </row>
    <row r="20" spans="1:3" x14ac:dyDescent="0.2">
      <c r="A20" t="s">
        <v>41</v>
      </c>
      <c r="B20">
        <v>1234567890000000</v>
      </c>
      <c r="C20" t="s">
        <v>42</v>
      </c>
    </row>
    <row r="21" spans="1:3" x14ac:dyDescent="0.2">
      <c r="A21" t="s">
        <v>43</v>
      </c>
      <c r="B21">
        <v>-98765.43</v>
      </c>
      <c r="C21" t="s">
        <v>44</v>
      </c>
    </row>
    <row r="22" spans="1:3" x14ac:dyDescent="0.2">
      <c r="A22" t="s">
        <v>45</v>
      </c>
      <c r="B22">
        <v>0</v>
      </c>
      <c r="C22" t="s">
        <v>46</v>
      </c>
    </row>
    <row r="23" spans="1:3" x14ac:dyDescent="0.2">
      <c r="A23" t="s">
        <v>47</v>
      </c>
      <c r="B23">
        <v>100</v>
      </c>
      <c r="C23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49</v>
      </c>
      <c r="B1" s="1" t="s">
        <v>50</v>
      </c>
      <c r="C1" s="1" t="s">
        <v>51</v>
      </c>
      <c r="E1" s="1" t="s">
        <v>52</v>
      </c>
      <c r="F1" s="1" t="s">
        <v>53</v>
      </c>
    </row>
    <row r="2" spans="1:6" x14ac:dyDescent="0.2">
      <c r="A2">
        <v>450.25</v>
      </c>
      <c r="B2">
        <v>1000</v>
      </c>
      <c r="C2" t="s">
        <v>54</v>
      </c>
      <c r="E2" t="s">
        <v>55</v>
      </c>
      <c r="F2">
        <v>3.25</v>
      </c>
    </row>
    <row r="3" spans="1:6" x14ac:dyDescent="0.2">
      <c r="A3">
        <v>462.1</v>
      </c>
      <c r="B3">
        <v>1200</v>
      </c>
      <c r="C3" t="s">
        <v>56</v>
      </c>
      <c r="E3" t="s">
        <v>57</v>
      </c>
      <c r="F3">
        <v>3.5</v>
      </c>
    </row>
    <row r="4" spans="1:6" x14ac:dyDescent="0.2">
      <c r="A4">
        <v>448.75</v>
      </c>
      <c r="B4">
        <v>800</v>
      </c>
      <c r="C4" t="s">
        <v>54</v>
      </c>
      <c r="E4" t="s">
        <v>58</v>
      </c>
      <c r="F4">
        <v>3.1</v>
      </c>
    </row>
    <row r="5" spans="1:6" x14ac:dyDescent="0.2">
      <c r="A5">
        <v>471.3</v>
      </c>
      <c r="B5">
        <v>1500</v>
      </c>
      <c r="C5" t="s">
        <v>56</v>
      </c>
      <c r="E5" t="s">
        <v>59</v>
      </c>
      <c r="F5">
        <v>3.75</v>
      </c>
    </row>
    <row r="6" spans="1:6" x14ac:dyDescent="0.2">
      <c r="A6">
        <v>459.8</v>
      </c>
      <c r="B6">
        <v>1100</v>
      </c>
      <c r="C6" t="s">
        <v>54</v>
      </c>
      <c r="E6" t="s">
        <v>60</v>
      </c>
      <c r="F6">
        <v>3.4</v>
      </c>
    </row>
    <row r="7" spans="1:6" x14ac:dyDescent="0.2">
      <c r="A7">
        <v>463.55</v>
      </c>
      <c r="B7">
        <v>900</v>
      </c>
      <c r="C7" t="s">
        <v>54</v>
      </c>
    </row>
    <row r="8" spans="1:6" x14ac:dyDescent="0.2">
      <c r="A8">
        <v>455.2</v>
      </c>
      <c r="B8">
        <v>1300</v>
      </c>
      <c r="C8" t="s">
        <v>56</v>
      </c>
    </row>
    <row r="9" spans="1:6" x14ac:dyDescent="0.2">
      <c r="A9">
        <v>469.9</v>
      </c>
      <c r="B9">
        <v>1050</v>
      </c>
      <c r="C9" t="s">
        <v>54</v>
      </c>
    </row>
    <row r="10" spans="1:6" x14ac:dyDescent="0.2">
      <c r="A10">
        <v>452.4</v>
      </c>
      <c r="B10">
        <v>1400</v>
      </c>
      <c r="C10" t="s">
        <v>56</v>
      </c>
    </row>
    <row r="11" spans="1:6" x14ac:dyDescent="0.2">
      <c r="A11">
        <v>467.15</v>
      </c>
      <c r="B11">
        <v>950</v>
      </c>
      <c r="C11" t="s">
        <v>54</v>
      </c>
    </row>
    <row r="12" spans="1:6" x14ac:dyDescent="0.2">
      <c r="A12" s="1">
        <f>SUM(A2:A11)</f>
        <v>4600.3999999999996</v>
      </c>
      <c r="B12" s="1">
        <f>SUM(B2:B11)</f>
        <v>11200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/>
  </sheetViews>
  <sheetFormatPr baseColWidth="10" defaultColWidth="8.83203125" defaultRowHeight="15" x14ac:dyDescent="0.2"/>
  <cols>
    <col min="1" max="1" width="26" customWidth="1"/>
    <col min="2" max="2" width="50" customWidth="1"/>
    <col min="3" max="3" width="18" customWidth="1"/>
    <col min="4" max="4" width="30" customWidth="1"/>
  </cols>
  <sheetData>
    <row r="1" spans="1:6" x14ac:dyDescent="0.2">
      <c r="A1" s="1" t="s">
        <v>61</v>
      </c>
      <c r="B1" s="1" t="s">
        <v>1</v>
      </c>
      <c r="C1" s="1" t="s">
        <v>62</v>
      </c>
      <c r="D1" s="1" t="s">
        <v>2</v>
      </c>
    </row>
    <row r="2" spans="1:6" x14ac:dyDescent="0.2">
      <c r="A2" t="s">
        <v>63</v>
      </c>
      <c r="B2">
        <f>10 + 25</f>
        <v>35</v>
      </c>
      <c r="C2">
        <v>35</v>
      </c>
      <c r="D2" t="s">
        <v>64</v>
      </c>
    </row>
    <row r="3" spans="1:6" x14ac:dyDescent="0.2">
      <c r="A3" t="s">
        <v>65</v>
      </c>
      <c r="B3">
        <f>B2 + 5</f>
        <v>40</v>
      </c>
      <c r="C3">
        <v>40</v>
      </c>
      <c r="D3" t="s">
        <v>66</v>
      </c>
    </row>
    <row r="4" spans="1:6" x14ac:dyDescent="0.2">
      <c r="A4" t="s">
        <v>67</v>
      </c>
      <c r="B4">
        <f>ref_data!A2</f>
        <v>450.25</v>
      </c>
      <c r="C4">
        <v>450.25</v>
      </c>
      <c r="D4" t="s">
        <v>68</v>
      </c>
    </row>
    <row r="5" spans="1:6" x14ac:dyDescent="0.2">
      <c r="A5" t="s">
        <v>69</v>
      </c>
      <c r="B5">
        <f>cell_types!B13</f>
        <v>42.5</v>
      </c>
      <c r="C5">
        <v>42.5</v>
      </c>
      <c r="D5" t="s">
        <v>70</v>
      </c>
    </row>
    <row r="6" spans="1:6" x14ac:dyDescent="0.2">
      <c r="A6" t="s">
        <v>71</v>
      </c>
      <c r="B6">
        <f>SUM(ref_data!A2:A11)</f>
        <v>4600.3999999999996</v>
      </c>
      <c r="C6">
        <v>4600.3999999999996</v>
      </c>
      <c r="D6" t="s">
        <v>72</v>
      </c>
    </row>
    <row r="8" spans="1:6" x14ac:dyDescent="0.2">
      <c r="A8" t="s">
        <v>73</v>
      </c>
      <c r="B8">
        <f t="shared" ref="B8:B11" si="0">E8*F8</f>
        <v>1000</v>
      </c>
      <c r="E8">
        <v>100</v>
      </c>
      <c r="F8">
        <v>10</v>
      </c>
    </row>
    <row r="9" spans="1:6" x14ac:dyDescent="0.2">
      <c r="A9" t="s">
        <v>74</v>
      </c>
      <c r="B9">
        <f t="shared" si="0"/>
        <v>4000</v>
      </c>
      <c r="E9">
        <v>200</v>
      </c>
      <c r="F9">
        <v>20</v>
      </c>
    </row>
    <row r="10" spans="1:6" x14ac:dyDescent="0.2">
      <c r="A10" t="s">
        <v>74</v>
      </c>
      <c r="B10">
        <f t="shared" si="0"/>
        <v>9000</v>
      </c>
      <c r="E10">
        <v>300</v>
      </c>
      <c r="F10">
        <v>30</v>
      </c>
    </row>
    <row r="11" spans="1:6" x14ac:dyDescent="0.2">
      <c r="A11" t="s">
        <v>74</v>
      </c>
      <c r="B11">
        <f t="shared" si="0"/>
        <v>16000</v>
      </c>
      <c r="E11">
        <v>400</v>
      </c>
      <c r="F11">
        <v>40</v>
      </c>
    </row>
    <row r="13" spans="1:6" x14ac:dyDescent="0.2">
      <c r="A13" t="s">
        <v>75</v>
      </c>
      <c r="B13">
        <f>SUM(PriceData)</f>
        <v>4600.3999999999996</v>
      </c>
      <c r="C13">
        <v>4600.3999999999996</v>
      </c>
      <c r="D13" t="s">
        <v>76</v>
      </c>
    </row>
    <row r="14" spans="1:6" x14ac:dyDescent="0.2">
      <c r="A14" t="s">
        <v>77</v>
      </c>
      <c r="B14">
        <f>VLOOKUP("C003",ref_data!$E$2:$F$6,2,FALSE)</f>
        <v>3.1</v>
      </c>
      <c r="C14">
        <v>3.1</v>
      </c>
      <c r="D14" t="s">
        <v>78</v>
      </c>
    </row>
    <row r="15" spans="1:6" x14ac:dyDescent="0.2">
      <c r="A15" t="s">
        <v>79</v>
      </c>
      <c r="B15" t="str">
        <f>IF(ref_data!A2&gt;460,"High","Low")</f>
        <v>Low</v>
      </c>
      <c r="C15" t="s">
        <v>80</v>
      </c>
      <c r="D15" t="s">
        <v>81</v>
      </c>
    </row>
    <row r="16" spans="1:6" x14ac:dyDescent="0.2">
      <c r="A16" t="s">
        <v>82</v>
      </c>
      <c r="B16">
        <f>INDEX(ref_data!$A$2:$A$11,MATCH(MAX(ref_data!$A$2:$A$11),ref_data!$A$2:$A$11,0))</f>
        <v>471.3</v>
      </c>
      <c r="C16">
        <v>471.3</v>
      </c>
      <c r="D16" t="s">
        <v>83</v>
      </c>
    </row>
    <row r="17" spans="1:4" x14ac:dyDescent="0.2">
      <c r="A17" t="s">
        <v>84</v>
      </c>
      <c r="B17">
        <f>SUM(ref_data!A2:A6,ref_data!A7:A11)</f>
        <v>4600.3999999999996</v>
      </c>
      <c r="C17">
        <v>4600.3999999999996</v>
      </c>
      <c r="D17" t="s">
        <v>85</v>
      </c>
    </row>
    <row r="18" spans="1:4" x14ac:dyDescent="0.2">
      <c r="A18" t="s">
        <v>86</v>
      </c>
      <c r="B18">
        <f ca="1">TODAY()</f>
        <v>46107</v>
      </c>
      <c r="C18" t="s">
        <v>87</v>
      </c>
      <c r="D18" t="s">
        <v>88</v>
      </c>
    </row>
    <row r="19" spans="1:4" x14ac:dyDescent="0.2">
      <c r="A19" t="s">
        <v>89</v>
      </c>
      <c r="B19">
        <f ca="1">NOW()</f>
        <v>46107.507483912035</v>
      </c>
      <c r="C19" t="s">
        <v>90</v>
      </c>
      <c r="D19" t="s">
        <v>91</v>
      </c>
    </row>
    <row r="20" spans="1:4" x14ac:dyDescent="0.2">
      <c r="A20" t="s">
        <v>92</v>
      </c>
      <c r="B20">
        <f ca="1">OFFSET(ref_data!A2,2,0)</f>
        <v>448.75</v>
      </c>
      <c r="C20">
        <v>448.75</v>
      </c>
      <c r="D20" t="s">
        <v>93</v>
      </c>
    </row>
    <row r="21" spans="1:4" x14ac:dyDescent="0.2">
      <c r="A21" t="s">
        <v>94</v>
      </c>
      <c r="B21">
        <f>B2*2</f>
        <v>70</v>
      </c>
      <c r="C21">
        <v>70</v>
      </c>
      <c r="D21" t="s">
        <v>95</v>
      </c>
    </row>
    <row r="22" spans="1:4" x14ac:dyDescent="0.2">
      <c r="A22" t="s">
        <v>96</v>
      </c>
      <c r="B22" t="e">
        <v>#REF!</v>
      </c>
      <c r="C22" t="s">
        <v>97</v>
      </c>
      <c r="D22" t="s">
        <v>98</v>
      </c>
    </row>
    <row r="23" spans="1:4" x14ac:dyDescent="0.2">
      <c r="A23" t="s">
        <v>99</v>
      </c>
      <c r="B23">
        <f t="array" ref="B23">SUMPRODUCT(ref_data!$A$2:$A$11,ref_data!$B$2:$B$11)</f>
        <v>5156002.5</v>
      </c>
      <c r="C23" t="s">
        <v>100</v>
      </c>
      <c r="D23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>
      <selection sqref="A1:H1"/>
    </sheetView>
  </sheetViews>
  <sheetFormatPr baseColWidth="10" defaultColWidth="8.83203125" defaultRowHeight="15" x14ac:dyDescent="0.2"/>
  <cols>
    <col min="1" max="1" width="18" customWidth="1"/>
    <col min="2" max="8" width="14" customWidth="1"/>
  </cols>
  <sheetData>
    <row r="1" spans="1:8" ht="19" x14ac:dyDescent="0.25">
      <c r="A1" s="12" t="s">
        <v>102</v>
      </c>
      <c r="B1" s="9"/>
      <c r="C1" s="9"/>
      <c r="D1" s="9"/>
      <c r="E1" s="9"/>
      <c r="F1" s="9"/>
      <c r="G1" s="9"/>
      <c r="H1" s="9"/>
    </row>
    <row r="2" spans="1:8" x14ac:dyDescent="0.2">
      <c r="A2" s="11" t="s">
        <v>103</v>
      </c>
      <c r="B2" s="9"/>
      <c r="C2" s="9"/>
      <c r="D2" s="9"/>
      <c r="E2" s="11" t="s">
        <v>104</v>
      </c>
      <c r="F2" s="9"/>
      <c r="G2" s="9"/>
      <c r="H2" s="9"/>
    </row>
    <row r="3" spans="1:8" x14ac:dyDescent="0.2">
      <c r="A3" s="1" t="s">
        <v>105</v>
      </c>
      <c r="B3" s="1" t="s">
        <v>106</v>
      </c>
      <c r="C3" s="1" t="s">
        <v>107</v>
      </c>
      <c r="D3" s="1" t="s">
        <v>108</v>
      </c>
      <c r="E3" s="1" t="s">
        <v>105</v>
      </c>
      <c r="F3" s="1" t="s">
        <v>106</v>
      </c>
      <c r="G3" s="1" t="s">
        <v>107</v>
      </c>
      <c r="H3" s="1" t="s">
        <v>108</v>
      </c>
    </row>
    <row r="4" spans="1:8" x14ac:dyDescent="0.2">
      <c r="A4" t="s">
        <v>109</v>
      </c>
      <c r="B4">
        <v>100</v>
      </c>
      <c r="C4">
        <v>1500.5</v>
      </c>
      <c r="D4">
        <v>250.25</v>
      </c>
      <c r="E4" t="s">
        <v>109</v>
      </c>
      <c r="F4">
        <v>80</v>
      </c>
      <c r="G4">
        <v>1200.75</v>
      </c>
      <c r="H4">
        <v>180.5</v>
      </c>
    </row>
    <row r="5" spans="1:8" x14ac:dyDescent="0.2">
      <c r="A5" t="s">
        <v>110</v>
      </c>
      <c r="B5">
        <v>200</v>
      </c>
      <c r="C5">
        <v>3001</v>
      </c>
      <c r="D5">
        <v>500.5</v>
      </c>
      <c r="E5" t="s">
        <v>110</v>
      </c>
      <c r="F5">
        <v>160</v>
      </c>
      <c r="G5">
        <v>2401.5</v>
      </c>
      <c r="H5">
        <v>361</v>
      </c>
    </row>
    <row r="6" spans="1:8" x14ac:dyDescent="0.2">
      <c r="A6" t="s">
        <v>111</v>
      </c>
      <c r="B6">
        <v>300</v>
      </c>
      <c r="C6">
        <v>4501.5</v>
      </c>
      <c r="D6">
        <v>750.75</v>
      </c>
      <c r="E6" t="s">
        <v>111</v>
      </c>
      <c r="F6">
        <v>240</v>
      </c>
      <c r="G6">
        <v>3602.25</v>
      </c>
      <c r="H6">
        <v>541.5</v>
      </c>
    </row>
    <row r="7" spans="1:8" x14ac:dyDescent="0.2">
      <c r="A7" t="s">
        <v>112</v>
      </c>
      <c r="B7">
        <v>400</v>
      </c>
      <c r="C7">
        <v>6002</v>
      </c>
      <c r="D7">
        <v>1001</v>
      </c>
      <c r="E7" t="s">
        <v>112</v>
      </c>
      <c r="F7">
        <v>320</v>
      </c>
      <c r="G7">
        <v>4803</v>
      </c>
      <c r="H7">
        <v>722</v>
      </c>
    </row>
    <row r="8" spans="1:8" x14ac:dyDescent="0.2">
      <c r="A8" t="s">
        <v>113</v>
      </c>
      <c r="B8">
        <v>500</v>
      </c>
      <c r="C8">
        <v>7502.5</v>
      </c>
      <c r="D8">
        <v>1251.25</v>
      </c>
      <c r="E8" t="s">
        <v>113</v>
      </c>
      <c r="F8">
        <v>400</v>
      </c>
      <c r="G8">
        <v>6003.75</v>
      </c>
      <c r="H8">
        <v>902.5</v>
      </c>
    </row>
    <row r="9" spans="1:8" x14ac:dyDescent="0.2">
      <c r="A9" t="s">
        <v>114</v>
      </c>
      <c r="B9">
        <v>600</v>
      </c>
      <c r="C9">
        <v>9003</v>
      </c>
      <c r="D9">
        <v>1501.5</v>
      </c>
      <c r="E9" t="s">
        <v>114</v>
      </c>
      <c r="F9">
        <v>480</v>
      </c>
      <c r="G9">
        <v>7204.5</v>
      </c>
      <c r="H9">
        <v>1083</v>
      </c>
    </row>
    <row r="11" spans="1:8" x14ac:dyDescent="0.2">
      <c r="A11" s="8" t="s">
        <v>115</v>
      </c>
      <c r="B11">
        <f t="shared" ref="B11:H11" si="0">SUM(B4:B9)</f>
        <v>2100</v>
      </c>
      <c r="C11">
        <f t="shared" si="0"/>
        <v>31510.5</v>
      </c>
      <c r="D11">
        <f t="shared" si="0"/>
        <v>5255.25</v>
      </c>
      <c r="E11">
        <f t="shared" si="0"/>
        <v>0</v>
      </c>
      <c r="F11">
        <f t="shared" si="0"/>
        <v>1680</v>
      </c>
      <c r="G11">
        <f t="shared" si="0"/>
        <v>25215.75</v>
      </c>
      <c r="H11">
        <f t="shared" si="0"/>
        <v>3790.5</v>
      </c>
    </row>
    <row r="12" spans="1:8" x14ac:dyDescent="0.2">
      <c r="A12" s="9"/>
    </row>
    <row r="13" spans="1:8" x14ac:dyDescent="0.2">
      <c r="A13" s="9"/>
    </row>
    <row r="14" spans="1:8" x14ac:dyDescent="0.2">
      <c r="A14" s="9"/>
    </row>
    <row r="15" spans="1:8" x14ac:dyDescent="0.2">
      <c r="A15" s="9"/>
      <c r="B15" s="9"/>
    </row>
    <row r="16" spans="1:8" x14ac:dyDescent="0.2">
      <c r="A16" s="10" t="s">
        <v>116</v>
      </c>
      <c r="B16" s="9"/>
      <c r="C16" s="9"/>
      <c r="D16" s="10" t="s">
        <v>117</v>
      </c>
      <c r="E16" s="9"/>
      <c r="F16" s="9"/>
      <c r="H16" t="s">
        <v>118</v>
      </c>
    </row>
    <row r="18" spans="1:3" x14ac:dyDescent="0.2">
      <c r="A18" s="13" t="s">
        <v>119</v>
      </c>
      <c r="B18" s="9"/>
      <c r="C18" t="s">
        <v>120</v>
      </c>
    </row>
    <row r="19" spans="1:3" x14ac:dyDescent="0.2">
      <c r="A19" s="9"/>
      <c r="B19" s="9"/>
      <c r="C19" t="s">
        <v>121</v>
      </c>
    </row>
    <row r="20" spans="1:3" x14ac:dyDescent="0.2">
      <c r="A20" s="9"/>
      <c r="B20" s="9"/>
      <c r="C20" t="s">
        <v>122</v>
      </c>
    </row>
    <row r="21" spans="1:3" x14ac:dyDescent="0.2">
      <c r="A21" s="9"/>
      <c r="B21" s="9"/>
      <c r="C21" t="s">
        <v>123</v>
      </c>
    </row>
    <row r="22" spans="1:3" x14ac:dyDescent="0.2">
      <c r="A22" s="9"/>
      <c r="B22" s="9"/>
      <c r="C22" t="s">
        <v>124</v>
      </c>
    </row>
  </sheetData>
  <mergeCells count="8">
    <mergeCell ref="A11:A14"/>
    <mergeCell ref="D16:F16"/>
    <mergeCell ref="A2:D2"/>
    <mergeCell ref="A1:H1"/>
    <mergeCell ref="A18:B22"/>
    <mergeCell ref="E2:H2"/>
    <mergeCell ref="A16:C16"/>
    <mergeCell ref="A15:B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pane ySplit="2" topLeftCell="A3" activePane="bottomLeft" state="frozen"/>
      <selection pane="bottomLeft" sqref="A1:F1"/>
    </sheetView>
  </sheetViews>
  <sheetFormatPr baseColWidth="10" defaultColWidth="8.83203125" defaultRowHeight="15" x14ac:dyDescent="0.2"/>
  <cols>
    <col min="1" max="1" width="12" customWidth="1"/>
    <col min="5" max="5" width="14" customWidth="1"/>
    <col min="6" max="6" width="10" customWidth="1"/>
  </cols>
  <sheetData>
    <row r="1" spans="1:6" x14ac:dyDescent="0.2">
      <c r="A1" s="14" t="s">
        <v>125</v>
      </c>
      <c r="B1" s="9"/>
      <c r="C1" s="9"/>
      <c r="D1" s="9"/>
      <c r="E1" s="9"/>
      <c r="F1" s="9"/>
    </row>
    <row r="2" spans="1:6" x14ac:dyDescent="0.2">
      <c r="A2" s="5" t="s">
        <v>126</v>
      </c>
      <c r="B2" s="5" t="s">
        <v>106</v>
      </c>
      <c r="C2" s="5" t="s">
        <v>49</v>
      </c>
      <c r="D2" s="5" t="s">
        <v>107</v>
      </c>
      <c r="E2" s="5" t="s">
        <v>127</v>
      </c>
      <c r="F2" s="5" t="s">
        <v>128</v>
      </c>
    </row>
    <row r="3" spans="1:6" x14ac:dyDescent="0.2">
      <c r="A3" t="s">
        <v>55</v>
      </c>
      <c r="B3">
        <v>50</v>
      </c>
      <c r="C3">
        <v>451.5</v>
      </c>
      <c r="D3">
        <v>750.25</v>
      </c>
      <c r="E3" s="2">
        <v>45658</v>
      </c>
      <c r="F3" t="s">
        <v>129</v>
      </c>
    </row>
    <row r="4" spans="1:6" x14ac:dyDescent="0.2">
      <c r="A4" t="s">
        <v>57</v>
      </c>
      <c r="B4">
        <v>100</v>
      </c>
      <c r="C4">
        <v>453</v>
      </c>
      <c r="D4">
        <v>1500.5</v>
      </c>
      <c r="E4" s="2">
        <v>45659</v>
      </c>
      <c r="F4" t="s">
        <v>130</v>
      </c>
    </row>
    <row r="5" spans="1:6" x14ac:dyDescent="0.2">
      <c r="A5" t="s">
        <v>58</v>
      </c>
      <c r="B5">
        <v>150</v>
      </c>
      <c r="C5">
        <v>454.5</v>
      </c>
      <c r="D5">
        <v>2250.75</v>
      </c>
      <c r="E5" s="2">
        <v>45660</v>
      </c>
      <c r="F5" t="s">
        <v>129</v>
      </c>
    </row>
    <row r="6" spans="1:6" x14ac:dyDescent="0.2">
      <c r="A6" t="s">
        <v>59</v>
      </c>
      <c r="B6">
        <v>200</v>
      </c>
      <c r="C6">
        <v>456</v>
      </c>
      <c r="D6">
        <v>3001</v>
      </c>
      <c r="E6" s="2">
        <v>45661</v>
      </c>
      <c r="F6" t="s">
        <v>130</v>
      </c>
    </row>
    <row r="7" spans="1:6" x14ac:dyDescent="0.2">
      <c r="A7" t="s">
        <v>60</v>
      </c>
      <c r="B7">
        <v>250</v>
      </c>
      <c r="C7">
        <v>457.5</v>
      </c>
      <c r="D7">
        <v>3751.25</v>
      </c>
      <c r="E7" s="2">
        <v>45662</v>
      </c>
      <c r="F7" t="s">
        <v>129</v>
      </c>
    </row>
    <row r="8" spans="1:6" x14ac:dyDescent="0.2">
      <c r="A8" t="s">
        <v>131</v>
      </c>
      <c r="B8">
        <v>300</v>
      </c>
      <c r="C8">
        <v>459</v>
      </c>
      <c r="D8">
        <v>4501.5</v>
      </c>
      <c r="E8" s="2">
        <v>45663</v>
      </c>
      <c r="F8" t="s">
        <v>130</v>
      </c>
    </row>
    <row r="9" spans="1:6" x14ac:dyDescent="0.2">
      <c r="A9" t="s">
        <v>132</v>
      </c>
      <c r="B9">
        <v>350</v>
      </c>
      <c r="C9">
        <v>460.5</v>
      </c>
      <c r="D9">
        <v>5251.75</v>
      </c>
      <c r="E9" s="2">
        <v>45664</v>
      </c>
      <c r="F9" t="s">
        <v>129</v>
      </c>
    </row>
    <row r="10" spans="1:6" x14ac:dyDescent="0.2">
      <c r="A10" t="s">
        <v>133</v>
      </c>
      <c r="B10">
        <v>400</v>
      </c>
      <c r="C10">
        <v>462</v>
      </c>
      <c r="D10">
        <v>6002</v>
      </c>
      <c r="E10" s="2">
        <v>45665</v>
      </c>
      <c r="F10" t="s">
        <v>130</v>
      </c>
    </row>
    <row r="11" spans="1:6" x14ac:dyDescent="0.2">
      <c r="A11" t="s">
        <v>134</v>
      </c>
      <c r="B11">
        <v>450</v>
      </c>
      <c r="C11">
        <v>463.5</v>
      </c>
      <c r="D11">
        <v>6752.25</v>
      </c>
      <c r="E11" s="2">
        <v>45666</v>
      </c>
      <c r="F11" t="s">
        <v>129</v>
      </c>
    </row>
    <row r="12" spans="1:6" x14ac:dyDescent="0.2">
      <c r="A12" t="s">
        <v>135</v>
      </c>
      <c r="B12">
        <v>500</v>
      </c>
      <c r="C12">
        <v>465</v>
      </c>
      <c r="D12">
        <v>7502.5</v>
      </c>
      <c r="E12" s="2">
        <v>45667</v>
      </c>
      <c r="F12" t="s">
        <v>130</v>
      </c>
    </row>
    <row r="13" spans="1:6" x14ac:dyDescent="0.2">
      <c r="A13" t="s">
        <v>136</v>
      </c>
      <c r="B13">
        <v>550</v>
      </c>
      <c r="C13">
        <v>466.5</v>
      </c>
      <c r="D13">
        <v>8252.75</v>
      </c>
      <c r="E13" s="2">
        <v>45668</v>
      </c>
      <c r="F13" t="s">
        <v>129</v>
      </c>
    </row>
    <row r="14" spans="1:6" x14ac:dyDescent="0.2">
      <c r="A14" t="s">
        <v>137</v>
      </c>
      <c r="B14">
        <v>600</v>
      </c>
      <c r="C14">
        <v>468</v>
      </c>
      <c r="D14">
        <v>9003</v>
      </c>
      <c r="E14" s="2">
        <v>45669</v>
      </c>
      <c r="F14" t="s">
        <v>130</v>
      </c>
    </row>
    <row r="15" spans="1:6" x14ac:dyDescent="0.2">
      <c r="A15" t="s">
        <v>138</v>
      </c>
      <c r="B15">
        <v>650</v>
      </c>
      <c r="C15">
        <v>469.5</v>
      </c>
      <c r="D15">
        <v>9753.25</v>
      </c>
      <c r="E15" s="2">
        <v>45670</v>
      </c>
      <c r="F15" t="s">
        <v>129</v>
      </c>
    </row>
    <row r="16" spans="1:6" x14ac:dyDescent="0.2">
      <c r="A16" t="s">
        <v>139</v>
      </c>
      <c r="B16">
        <v>700</v>
      </c>
      <c r="C16">
        <v>471</v>
      </c>
      <c r="D16">
        <v>10503.5</v>
      </c>
      <c r="E16" s="2">
        <v>45671</v>
      </c>
      <c r="F16" t="s">
        <v>130</v>
      </c>
    </row>
    <row r="17" spans="1:6" x14ac:dyDescent="0.2">
      <c r="A17" t="s">
        <v>140</v>
      </c>
      <c r="B17">
        <v>750</v>
      </c>
      <c r="C17">
        <v>472.5</v>
      </c>
      <c r="D17">
        <v>11253.75</v>
      </c>
      <c r="E17" s="2">
        <v>45672</v>
      </c>
      <c r="F17" t="s">
        <v>129</v>
      </c>
    </row>
    <row r="18" spans="1:6" x14ac:dyDescent="0.2">
      <c r="A18" t="s">
        <v>141</v>
      </c>
      <c r="B18">
        <v>800</v>
      </c>
      <c r="C18">
        <v>474</v>
      </c>
      <c r="D18">
        <v>12004</v>
      </c>
      <c r="E18" s="2">
        <v>45673</v>
      </c>
      <c r="F18" t="s">
        <v>130</v>
      </c>
    </row>
    <row r="19" spans="1:6" x14ac:dyDescent="0.2">
      <c r="A19" t="s">
        <v>142</v>
      </c>
      <c r="B19">
        <v>850</v>
      </c>
      <c r="C19">
        <v>475.5</v>
      </c>
      <c r="D19">
        <v>12754.25</v>
      </c>
      <c r="E19" s="2">
        <v>45674</v>
      </c>
      <c r="F19" t="s">
        <v>129</v>
      </c>
    </row>
    <row r="20" spans="1:6" x14ac:dyDescent="0.2">
      <c r="A20" t="s">
        <v>143</v>
      </c>
      <c r="B20">
        <v>900</v>
      </c>
      <c r="C20">
        <v>477</v>
      </c>
      <c r="D20">
        <v>13504.5</v>
      </c>
      <c r="E20" s="2">
        <v>45675</v>
      </c>
      <c r="F20" t="s">
        <v>130</v>
      </c>
    </row>
    <row r="21" spans="1:6" x14ac:dyDescent="0.2">
      <c r="A21" t="s">
        <v>144</v>
      </c>
      <c r="B21">
        <v>950</v>
      </c>
      <c r="C21">
        <v>478.5</v>
      </c>
      <c r="D21">
        <v>14254.75</v>
      </c>
      <c r="E21" s="2">
        <v>45676</v>
      </c>
      <c r="F21" t="s">
        <v>129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001"/>
  <sheetViews>
    <sheetView workbookViewId="0">
      <selection sqref="A1:J1"/>
    </sheetView>
  </sheetViews>
  <sheetFormatPr baseColWidth="10" defaultColWidth="8.83203125" defaultRowHeight="15" x14ac:dyDescent="0.2"/>
  <sheetData>
    <row r="1" spans="1:10" x14ac:dyDescent="0.2">
      <c r="A1" s="15" t="s">
        <v>145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">
      <c r="A2">
        <v>11</v>
      </c>
      <c r="B2">
        <v>12</v>
      </c>
      <c r="C2">
        <v>13</v>
      </c>
      <c r="D2">
        <v>14</v>
      </c>
      <c r="E2">
        <v>15</v>
      </c>
      <c r="F2">
        <v>16</v>
      </c>
      <c r="G2">
        <v>17</v>
      </c>
      <c r="H2">
        <v>18</v>
      </c>
      <c r="I2">
        <v>19</v>
      </c>
      <c r="J2">
        <v>20</v>
      </c>
    </row>
    <row r="3" spans="1:10" x14ac:dyDescent="0.2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  <row r="24" spans="1:10" x14ac:dyDescent="0.2">
      <c r="A24" s="1" t="s">
        <v>146</v>
      </c>
    </row>
    <row r="25" spans="1:10" x14ac:dyDescent="0.2">
      <c r="B25" t="s">
        <v>147</v>
      </c>
      <c r="C25">
        <v>100</v>
      </c>
    </row>
    <row r="40" spans="2:3" x14ac:dyDescent="0.2">
      <c r="B40" t="s">
        <v>148</v>
      </c>
      <c r="C40">
        <v>200</v>
      </c>
    </row>
    <row r="100" spans="1:31" x14ac:dyDescent="0.2">
      <c r="B100" t="s">
        <v>149</v>
      </c>
      <c r="C100">
        <v>300</v>
      </c>
      <c r="F100" t="s">
        <v>150</v>
      </c>
    </row>
    <row r="102" spans="1:31" x14ac:dyDescent="0.2">
      <c r="A102" s="1" t="s">
        <v>151</v>
      </c>
    </row>
    <row r="103" spans="1:31" x14ac:dyDescent="0.2">
      <c r="A103" t="s">
        <v>152</v>
      </c>
      <c r="B103" t="s">
        <v>153</v>
      </c>
      <c r="C103" t="s">
        <v>154</v>
      </c>
      <c r="D103" t="s">
        <v>155</v>
      </c>
      <c r="E103" t="s">
        <v>156</v>
      </c>
      <c r="F103" t="s">
        <v>157</v>
      </c>
      <c r="G103" t="s">
        <v>158</v>
      </c>
      <c r="H103" t="s">
        <v>159</v>
      </c>
      <c r="I103" t="s">
        <v>160</v>
      </c>
      <c r="J103" t="s">
        <v>161</v>
      </c>
      <c r="K103" t="s">
        <v>162</v>
      </c>
      <c r="L103" t="s">
        <v>163</v>
      </c>
      <c r="M103" t="s">
        <v>164</v>
      </c>
      <c r="N103" t="s">
        <v>165</v>
      </c>
      <c r="O103" t="s">
        <v>166</v>
      </c>
      <c r="P103" t="s">
        <v>167</v>
      </c>
      <c r="Q103" t="s">
        <v>168</v>
      </c>
      <c r="R103" t="s">
        <v>169</v>
      </c>
      <c r="S103" t="s">
        <v>170</v>
      </c>
      <c r="T103" t="s">
        <v>171</v>
      </c>
      <c r="U103" t="s">
        <v>172</v>
      </c>
      <c r="V103" t="s">
        <v>173</v>
      </c>
      <c r="W103" t="s">
        <v>174</v>
      </c>
      <c r="X103" t="s">
        <v>175</v>
      </c>
      <c r="Y103" t="s">
        <v>176</v>
      </c>
      <c r="Z103" t="s">
        <v>177</v>
      </c>
      <c r="AA103" t="s">
        <v>178</v>
      </c>
      <c r="AB103" t="s">
        <v>179</v>
      </c>
      <c r="AC103" t="s">
        <v>180</v>
      </c>
      <c r="AD103" t="s">
        <v>181</v>
      </c>
      <c r="AE103" t="s">
        <v>182</v>
      </c>
    </row>
    <row r="104" spans="1:31" x14ac:dyDescent="0.2">
      <c r="A104">
        <v>1</v>
      </c>
      <c r="B104">
        <v>2</v>
      </c>
      <c r="C104">
        <v>3</v>
      </c>
      <c r="D104">
        <v>4</v>
      </c>
      <c r="E104">
        <v>5</v>
      </c>
      <c r="F104">
        <v>6</v>
      </c>
      <c r="G104">
        <v>7</v>
      </c>
      <c r="H104">
        <v>8</v>
      </c>
      <c r="I104">
        <v>9</v>
      </c>
      <c r="J104">
        <v>10</v>
      </c>
      <c r="K104">
        <v>11</v>
      </c>
      <c r="L104">
        <v>12</v>
      </c>
      <c r="M104">
        <v>13</v>
      </c>
      <c r="N104">
        <v>14</v>
      </c>
      <c r="O104">
        <v>15</v>
      </c>
      <c r="P104">
        <v>16</v>
      </c>
      <c r="Q104">
        <v>17</v>
      </c>
      <c r="R104">
        <v>18</v>
      </c>
      <c r="S104">
        <v>19</v>
      </c>
      <c r="T104">
        <v>20</v>
      </c>
      <c r="U104">
        <v>21</v>
      </c>
      <c r="V104">
        <v>22</v>
      </c>
      <c r="W104">
        <v>23</v>
      </c>
      <c r="X104">
        <v>24</v>
      </c>
      <c r="Y104">
        <v>25</v>
      </c>
      <c r="Z104">
        <v>26</v>
      </c>
      <c r="AA104">
        <v>27</v>
      </c>
      <c r="AB104">
        <v>28</v>
      </c>
      <c r="AC104">
        <v>29</v>
      </c>
      <c r="AD104">
        <v>30</v>
      </c>
      <c r="AE104">
        <v>31</v>
      </c>
    </row>
    <row r="106" spans="1:31" x14ac:dyDescent="0.2">
      <c r="A106" s="1" t="s">
        <v>183</v>
      </c>
    </row>
    <row r="107" spans="1:31" x14ac:dyDescent="0.2">
      <c r="B107">
        <f>2*2</f>
        <v>4</v>
      </c>
      <c r="C107">
        <f>B107+1</f>
        <v>5</v>
      </c>
      <c r="D107">
        <f>C107*3</f>
        <v>15</v>
      </c>
      <c r="E107">
        <f>SUM(B107:D107)</f>
        <v>24</v>
      </c>
      <c r="F107">
        <f>E107/B107</f>
        <v>6</v>
      </c>
    </row>
    <row r="109" spans="1:31" x14ac:dyDescent="0.2">
      <c r="A109" s="1" t="s">
        <v>184</v>
      </c>
    </row>
    <row r="110" spans="1:31" x14ac:dyDescent="0.2">
      <c r="A110">
        <v>111</v>
      </c>
      <c r="B110">
        <v>222</v>
      </c>
      <c r="C110">
        <v>333</v>
      </c>
      <c r="D110">
        <v>444</v>
      </c>
      <c r="E110">
        <v>555</v>
      </c>
      <c r="F110">
        <v>666</v>
      </c>
      <c r="G110">
        <v>777</v>
      </c>
    </row>
    <row r="1000" spans="1:2" x14ac:dyDescent="0.2">
      <c r="A1000" t="s">
        <v>185</v>
      </c>
      <c r="B1000">
        <v>1000</v>
      </c>
    </row>
    <row r="1001" spans="1:2" x14ac:dyDescent="0.2">
      <c r="A1001" t="str">
        <f>A1000&amp;" +1"</f>
        <v>ROW 1000 marker +1</v>
      </c>
      <c r="B1001">
        <f>B1000+1</f>
        <v>1001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20" customWidth="1"/>
    <col min="2" max="2" width="45" customWidth="1"/>
    <col min="3" max="3" width="28" customWidth="1"/>
    <col min="4" max="4" width="18" customWidth="1"/>
  </cols>
  <sheetData>
    <row r="1" spans="1:5" ht="17" x14ac:dyDescent="0.2">
      <c r="A1" s="16" t="s">
        <v>186</v>
      </c>
      <c r="B1" s="9"/>
      <c r="C1" s="9"/>
      <c r="D1" s="9"/>
      <c r="E1" s="9"/>
    </row>
    <row r="3" spans="1:5" x14ac:dyDescent="0.2">
      <c r="A3" s="1" t="s">
        <v>187</v>
      </c>
      <c r="B3" s="1" t="s">
        <v>188</v>
      </c>
      <c r="C3" s="1" t="s">
        <v>189</v>
      </c>
      <c r="D3" s="1" t="s">
        <v>190</v>
      </c>
    </row>
    <row r="4" spans="1:5" x14ac:dyDescent="0.2">
      <c r="A4" t="s">
        <v>191</v>
      </c>
      <c r="B4">
        <f>ref_data!A2</f>
        <v>450.25</v>
      </c>
      <c r="C4" t="s">
        <v>192</v>
      </c>
      <c r="D4">
        <v>450.25</v>
      </c>
    </row>
    <row r="5" spans="1:5" x14ac:dyDescent="0.2">
      <c r="A5" t="s">
        <v>193</v>
      </c>
      <c r="B5">
        <f>ref_data!A2 + cell_types!B13</f>
        <v>492.75</v>
      </c>
      <c r="C5" t="s">
        <v>194</v>
      </c>
      <c r="D5">
        <v>492.75</v>
      </c>
    </row>
    <row r="6" spans="1:5" x14ac:dyDescent="0.2">
      <c r="A6" t="s">
        <v>195</v>
      </c>
      <c r="B6">
        <f>ref_data!A2 + cell_types!B13 + formulas!B2</f>
        <v>527.75</v>
      </c>
      <c r="C6" t="s">
        <v>196</v>
      </c>
      <c r="D6">
        <v>527.75</v>
      </c>
    </row>
    <row r="7" spans="1:5" x14ac:dyDescent="0.2">
      <c r="A7" t="s">
        <v>197</v>
      </c>
      <c r="B7">
        <f>cell_types!B19</f>
        <v>9999999999</v>
      </c>
      <c r="C7" t="s">
        <v>198</v>
      </c>
      <c r="D7">
        <v>9999999999</v>
      </c>
    </row>
    <row r="8" spans="1:5" x14ac:dyDescent="0.2">
      <c r="A8" t="s">
        <v>199</v>
      </c>
      <c r="B8">
        <f>formulas!B6</f>
        <v>4600.3999999999996</v>
      </c>
      <c r="C8" t="s">
        <v>200</v>
      </c>
      <c r="D8">
        <v>4600.3999999999996</v>
      </c>
    </row>
    <row r="9" spans="1:5" x14ac:dyDescent="0.2">
      <c r="A9" t="s">
        <v>201</v>
      </c>
      <c r="B9">
        <f>SUM(PriceData)</f>
        <v>4600.3999999999996</v>
      </c>
      <c r="C9" t="s">
        <v>202</v>
      </c>
      <c r="D9">
        <v>4600.3999999999996</v>
      </c>
    </row>
    <row r="10" spans="1:5" x14ac:dyDescent="0.2">
      <c r="A10" t="s">
        <v>203</v>
      </c>
      <c r="B10">
        <f>SUM(PriceData) + VolumeTotal</f>
        <v>15800.4</v>
      </c>
      <c r="C10" t="s">
        <v>204</v>
      </c>
      <c r="D10">
        <v>15800.4</v>
      </c>
    </row>
    <row r="11" spans="1:5" x14ac:dyDescent="0.2">
      <c r="A11" t="s">
        <v>205</v>
      </c>
      <c r="B11">
        <f>empty_sheet!A1</f>
        <v>0</v>
      </c>
      <c r="C11" t="s">
        <v>206</v>
      </c>
    </row>
    <row r="13" spans="1:5" x14ac:dyDescent="0.2">
      <c r="A13" t="s">
        <v>207</v>
      </c>
      <c r="B13" t="str">
        <f ca="1">D13</f>
        <v/>
      </c>
      <c r="D13" t="str">
        <f ca="1">B13</f>
        <v/>
      </c>
    </row>
    <row r="14" spans="1:5" x14ac:dyDescent="0.2">
      <c r="A14" t="s">
        <v>208</v>
      </c>
    </row>
    <row r="15" spans="1:5" x14ac:dyDescent="0.2">
      <c r="A15" t="s">
        <v>96</v>
      </c>
      <c r="B15" t="e">
        <v>#REF!</v>
      </c>
      <c r="C15" t="s">
        <v>209</v>
      </c>
      <c r="D15" t="s">
        <v>210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workbookViewId="0">
      <selection sqref="A1:G1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7" width="14" customWidth="1"/>
  </cols>
  <sheetData>
    <row r="1" spans="1:7" ht="17" x14ac:dyDescent="0.2">
      <c r="A1" s="16" t="s">
        <v>211</v>
      </c>
      <c r="B1" s="9"/>
      <c r="C1" s="9"/>
      <c r="D1" s="9"/>
      <c r="E1" s="9"/>
      <c r="F1" s="9"/>
      <c r="G1" s="9"/>
    </row>
    <row r="2" spans="1:7" x14ac:dyDescent="0.2">
      <c r="A2" t="s">
        <v>126</v>
      </c>
      <c r="B2" t="s">
        <v>212</v>
      </c>
      <c r="C2" t="s">
        <v>106</v>
      </c>
      <c r="D2" t="s">
        <v>213</v>
      </c>
      <c r="E2" t="s">
        <v>214</v>
      </c>
      <c r="F2" t="s">
        <v>215</v>
      </c>
      <c r="G2" t="s">
        <v>108</v>
      </c>
    </row>
    <row r="3" spans="1:7" x14ac:dyDescent="0.2">
      <c r="A3" t="s">
        <v>216</v>
      </c>
      <c r="B3" t="s">
        <v>217</v>
      </c>
      <c r="C3">
        <v>500</v>
      </c>
      <c r="D3">
        <v>449.5</v>
      </c>
      <c r="E3">
        <v>452.3</v>
      </c>
      <c r="F3">
        <v>226150</v>
      </c>
      <c r="G3">
        <v>1400</v>
      </c>
    </row>
    <row r="4" spans="1:7" x14ac:dyDescent="0.2">
      <c r="A4" t="s">
        <v>216</v>
      </c>
      <c r="B4" t="s">
        <v>218</v>
      </c>
      <c r="C4">
        <v>200</v>
      </c>
      <c r="D4">
        <v>451.2</v>
      </c>
      <c r="E4">
        <v>452.3</v>
      </c>
      <c r="F4">
        <v>90460</v>
      </c>
      <c r="G4">
        <v>-220</v>
      </c>
    </row>
    <row r="5" spans="1:7" x14ac:dyDescent="0.2">
      <c r="A5" t="s">
        <v>219</v>
      </c>
      <c r="B5" t="s">
        <v>217</v>
      </c>
      <c r="C5">
        <v>350</v>
      </c>
      <c r="D5">
        <v>453.8</v>
      </c>
      <c r="E5">
        <v>456.1</v>
      </c>
      <c r="F5">
        <v>159635</v>
      </c>
      <c r="G5">
        <v>805</v>
      </c>
    </row>
    <row r="6" spans="1:7" x14ac:dyDescent="0.2">
      <c r="A6" t="s">
        <v>220</v>
      </c>
      <c r="B6" t="s">
        <v>217</v>
      </c>
      <c r="C6">
        <v>120</v>
      </c>
      <c r="D6">
        <v>515</v>
      </c>
      <c r="E6">
        <v>518.5</v>
      </c>
      <c r="F6">
        <v>62220</v>
      </c>
      <c r="G6">
        <v>420</v>
      </c>
    </row>
    <row r="7" spans="1:7" x14ac:dyDescent="0.2">
      <c r="A7" t="s">
        <v>221</v>
      </c>
      <c r="B7" t="s">
        <v>218</v>
      </c>
      <c r="C7">
        <v>80</v>
      </c>
      <c r="D7">
        <v>517.29999999999995</v>
      </c>
      <c r="E7">
        <v>518.5</v>
      </c>
      <c r="F7">
        <v>41480</v>
      </c>
      <c r="G7">
        <v>-96</v>
      </c>
    </row>
    <row r="8" spans="1:7" x14ac:dyDescent="0.2">
      <c r="A8" s="1" t="s">
        <v>115</v>
      </c>
      <c r="C8">
        <f>SUM(C3:C7)</f>
        <v>1250</v>
      </c>
      <c r="F8">
        <f>SUM(F3:F7)</f>
        <v>579945</v>
      </c>
      <c r="G8">
        <f>SUM(G3:G7)</f>
        <v>2309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tabSelected="1" workbookViewId="0"/>
  </sheetViews>
  <sheetFormatPr baseColWidth="10" defaultColWidth="8.83203125" defaultRowHeight="15" x14ac:dyDescent="0.2"/>
  <cols>
    <col min="1" max="2" width="22" customWidth="1"/>
    <col min="3" max="3" width="32" customWidth="1"/>
    <col min="4" max="4" width="13" hidden="1" customWidth="1"/>
  </cols>
  <sheetData>
    <row r="1" spans="1:5" x14ac:dyDescent="0.2">
      <c r="A1" s="1" t="s">
        <v>222</v>
      </c>
      <c r="B1" s="1" t="s">
        <v>223</v>
      </c>
      <c r="C1" s="1" t="s">
        <v>2</v>
      </c>
      <c r="D1" t="s">
        <v>224</v>
      </c>
      <c r="E1" t="s">
        <v>225</v>
      </c>
    </row>
    <row r="2" spans="1:5" x14ac:dyDescent="0.2">
      <c r="A2" t="s">
        <v>226</v>
      </c>
      <c r="B2" s="6">
        <v>42</v>
      </c>
      <c r="C2" t="s">
        <v>227</v>
      </c>
      <c r="D2" t="s">
        <v>228</v>
      </c>
      <c r="E2" t="s">
        <v>229</v>
      </c>
    </row>
    <row r="3" spans="1:5" x14ac:dyDescent="0.2">
      <c r="A3" t="s">
        <v>230</v>
      </c>
      <c r="B3">
        <v>99</v>
      </c>
      <c r="C3" t="s">
        <v>231</v>
      </c>
      <c r="D3" t="s">
        <v>232</v>
      </c>
    </row>
    <row r="4" spans="1:5" x14ac:dyDescent="0.2">
      <c r="A4" t="s">
        <v>233</v>
      </c>
      <c r="B4">
        <v>1234567890123450</v>
      </c>
      <c r="C4" t="s">
        <v>234</v>
      </c>
    </row>
    <row r="5" spans="1:5" x14ac:dyDescent="0.2">
      <c r="A5" t="s">
        <v>235</v>
      </c>
      <c r="B5">
        <v>1.2340000000000001E-9</v>
      </c>
      <c r="C5" t="s">
        <v>236</v>
      </c>
    </row>
    <row r="6" spans="1:5" x14ac:dyDescent="0.2">
      <c r="A6" t="s">
        <v>237</v>
      </c>
      <c r="B6">
        <v>-9876543210</v>
      </c>
      <c r="C6" t="s">
        <v>238</v>
      </c>
    </row>
    <row r="7" spans="1:5" x14ac:dyDescent="0.2">
      <c r="A7" t="s">
        <v>239</v>
      </c>
      <c r="B7">
        <v>2147483647</v>
      </c>
      <c r="C7" t="s">
        <v>240</v>
      </c>
    </row>
    <row r="8" spans="1:5" x14ac:dyDescent="0.2">
      <c r="A8" t="s">
        <v>241</v>
      </c>
      <c r="C8" t="s">
        <v>242</v>
      </c>
    </row>
    <row r="9" spans="1:5" x14ac:dyDescent="0.2">
      <c r="A9" t="s">
        <v>243</v>
      </c>
      <c r="B9" t="s">
        <v>244</v>
      </c>
      <c r="C9" t="s">
        <v>245</v>
      </c>
    </row>
    <row r="10" spans="1:5" x14ac:dyDescent="0.2">
      <c r="A10" t="s">
        <v>246</v>
      </c>
      <c r="B10" t="s">
        <v>247</v>
      </c>
      <c r="C10" t="s">
        <v>248</v>
      </c>
    </row>
    <row r="11" spans="1:5" ht="32" x14ac:dyDescent="0.2">
      <c r="A11" t="s">
        <v>249</v>
      </c>
      <c r="B11" s="7" t="s">
        <v>250</v>
      </c>
      <c r="C11" t="s">
        <v>251</v>
      </c>
    </row>
    <row r="12" spans="1:5" x14ac:dyDescent="0.2">
      <c r="A12" t="s">
        <v>252</v>
      </c>
      <c r="B12" t="s">
        <v>253</v>
      </c>
      <c r="C12" t="s">
        <v>254</v>
      </c>
    </row>
    <row r="13" spans="1:5" x14ac:dyDescent="0.2">
      <c r="A13" t="s">
        <v>255</v>
      </c>
      <c r="B13">
        <f>0*100</f>
        <v>0</v>
      </c>
      <c r="C13" t="s">
        <v>256</v>
      </c>
    </row>
    <row r="14" spans="1:5" x14ac:dyDescent="0.2">
      <c r="A14" t="s">
        <v>257</v>
      </c>
      <c r="B14">
        <f>10-20</f>
        <v>-10</v>
      </c>
      <c r="C14" t="s">
        <v>258</v>
      </c>
    </row>
    <row r="15" spans="1:5" x14ac:dyDescent="0.2">
      <c r="A15" t="s">
        <v>259</v>
      </c>
      <c r="B15">
        <v>15</v>
      </c>
      <c r="C15" t="s">
        <v>260</v>
      </c>
    </row>
    <row r="16" spans="1:5" ht="30" customHeight="1" x14ac:dyDescent="0.2">
      <c r="A16" t="s">
        <v>261</v>
      </c>
      <c r="B16">
        <v>16</v>
      </c>
      <c r="C16" t="s">
        <v>262</v>
      </c>
    </row>
    <row r="17" spans="1:3" x14ac:dyDescent="0.2">
      <c r="A17" t="s">
        <v>263</v>
      </c>
      <c r="B17">
        <v>17</v>
      </c>
      <c r="C17" t="s">
        <v>264</v>
      </c>
    </row>
    <row r="18" spans="1:3" x14ac:dyDescent="0.2">
      <c r="A18" t="s">
        <v>265</v>
      </c>
      <c r="B18" t="s">
        <v>266</v>
      </c>
      <c r="C18" t="s">
        <v>267</v>
      </c>
    </row>
    <row r="19" spans="1:3" x14ac:dyDescent="0.2">
      <c r="A19" t="s">
        <v>268</v>
      </c>
      <c r="B19" t="s">
        <v>269</v>
      </c>
      <c r="C19" t="s">
        <v>270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3:F15"/>
  <sheetViews>
    <sheetView workbookViewId="0"/>
  </sheetViews>
  <sheetFormatPr baseColWidth="10" defaultRowHeight="16" x14ac:dyDescent="0.2"/>
  <sheetData>
    <row r="3" spans="3:6" ht="15" x14ac:dyDescent="0.2">
      <c r="C3" t="s">
        <v>271</v>
      </c>
      <c r="D3">
        <v>100</v>
      </c>
      <c r="F3">
        <v>200</v>
      </c>
    </row>
    <row r="7" spans="3:6" ht="15" x14ac:dyDescent="0.2">
      <c r="C7" t="s">
        <v>271</v>
      </c>
      <c r="E7">
        <v>300</v>
      </c>
    </row>
    <row r="15" spans="3:6" ht="15" x14ac:dyDescent="0.2">
      <c r="D15">
        <f>D3+E7</f>
        <v>400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6" x14ac:dyDescent="0.2"/>
  <sheetData>
    <row r="1" spans="1:1" ht="15" x14ac:dyDescent="0.2">
      <c r="A1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F10"/>
  <sheetViews>
    <sheetView workbookViewId="0"/>
  </sheetViews>
  <sheetFormatPr baseColWidth="10" defaultRowHeight="16" x14ac:dyDescent="0.2"/>
  <sheetData>
    <row r="3" spans="3:6" ht="15" x14ac:dyDescent="0.2">
      <c r="C3" t="s">
        <v>272</v>
      </c>
      <c r="D3" t="s">
        <v>273</v>
      </c>
      <c r="E3" t="s">
        <v>274</v>
      </c>
      <c r="F3" t="s">
        <v>275</v>
      </c>
    </row>
    <row r="4" spans="3:6" ht="15" x14ac:dyDescent="0.2">
      <c r="C4">
        <v>1</v>
      </c>
      <c r="D4">
        <v>2</v>
      </c>
      <c r="E4">
        <v>3</v>
      </c>
      <c r="F4">
        <v>4</v>
      </c>
    </row>
    <row r="5" spans="3:6" ht="15" x14ac:dyDescent="0.2">
      <c r="C5">
        <v>5</v>
      </c>
      <c r="D5">
        <v>6</v>
      </c>
      <c r="E5">
        <v>7</v>
      </c>
      <c r="F5">
        <v>8</v>
      </c>
    </row>
    <row r="6" spans="3:6" ht="15" x14ac:dyDescent="0.2">
      <c r="C6">
        <v>9</v>
      </c>
      <c r="D6">
        <v>10</v>
      </c>
      <c r="E6">
        <v>11</v>
      </c>
      <c r="F6">
        <v>12</v>
      </c>
    </row>
    <row r="10" spans="3:6" ht="15" x14ac:dyDescent="0.2">
      <c r="C10">
        <f>SUM(C4:C9)</f>
        <v>15</v>
      </c>
      <c r="D10">
        <f>SUM(D4:D9)</f>
        <v>18</v>
      </c>
      <c r="E10">
        <f>SUM(E4:E9)</f>
        <v>21</v>
      </c>
      <c r="F10">
        <f>SUM(F4:F9)</f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cell_types</vt:lpstr>
      <vt:lpstr>ref_data</vt:lpstr>
      <vt:lpstr>formulas</vt:lpstr>
      <vt:lpstr>merged_cells</vt:lpstr>
      <vt:lpstr>freeze_panes</vt:lpstr>
      <vt:lpstr>sheet_structure</vt:lpstr>
      <vt:lpstr>cross_sheet_refs</vt:lpstr>
      <vt:lpstr>sheet_with_table</vt:lpstr>
      <vt:lpstr>edge_cases</vt:lpstr>
      <vt:lpstr>empty_sheet</vt:lpstr>
      <vt:lpstr>sparse_no_dim</vt:lpstr>
      <vt:lpstr>single_cell</vt:lpstr>
      <vt:lpstr>non_a1_dimension</vt:lpstr>
      <vt:lpstr>PriceData</vt:lpstr>
      <vt:lpstr>VolumeTotal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xlayer-fixtures</dc:creator>
  <dcterms:created xsi:type="dcterms:W3CDTF">2026-01-01T00:00:00Z</dcterms:created>
  <dcterms:modified xsi:type="dcterms:W3CDTF">2026-01-01T00:00:00Z</dcterms:modified>
</cp:coreProperties>
</file>